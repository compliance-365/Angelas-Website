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ction Register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<sst xmlns="http://schemas.openxmlformats.org/spreadsheetml/2006/main" count="60" uniqueCount="54">
  <si>
    <t xml:space="preserve">RAP Action Register</t>
  </si>
  <si>
    <t xml:space="preserve">Every commitment in your Reconciliation Action Plan, with a named owner, a deliverable, a timeframe, a measure and the evidence source that will prove it. A commitment missing any of these is the single most reliable predictor that it will not be delivered.</t>
  </si>
  <si>
    <t xml:space="preserve">How to use this template</t>
  </si>
  <si>
    <t xml:space="preserve">•  One row per action. If you cannot name an owner, the action is not ready to commit to.</t>
  </si>
  <si>
    <t xml:space="preserve">•  'Owner' is a person, not a team. Actions owned by 'the business' are owned by nobody.</t>
  </si>
  <si>
    <t xml:space="preserve">•  Fill in 'Measure' and 'Evidence source' when you write the action — not later. Deciding how to prove something after the fact rarely works.</t>
  </si>
  <si>
    <t xml:space="preserve">•  Update 'Status' and 'Last updated' at every working group meeting.</t>
  </si>
  <si>
    <t xml:space="preserve">•  The Summary tab calculates automatically — do not type into it.</t>
  </si>
  <si>
    <t xml:space="preserve">Legend</t>
  </si>
  <si>
    <t xml:space="preserve">Shaded cells are for you to fill in. The first data row is a worked example — delete it before you start.</t>
  </si>
  <si>
    <t xml:space="preserve">Corresponds to Phase 4 (Design) and Phase 6 (Delivery and evidence) of the 2Ways RAP Delivery Framework.</t>
  </si>
  <si>
    <t xml:space="preserve">Template provided by 2Ways Consultancy — 2waysconsultancy.com.au — free to use and adapt.</t>
  </si>
  <si>
    <t xml:space="preserve">Action ID</t>
  </si>
  <si>
    <t xml:space="preserve">Pillar</t>
  </si>
  <si>
    <t xml:space="preserve">Action</t>
  </si>
  <si>
    <t xml:space="preserve">Deliverable</t>
  </si>
  <si>
    <t xml:space="preserve">Owner (name)</t>
  </si>
  <si>
    <t xml:space="preserve">Owner role</t>
  </si>
  <si>
    <t xml:space="preserve">Start date</t>
  </si>
  <si>
    <t xml:space="preserve">Due date</t>
  </si>
  <si>
    <t xml:space="preserve">Measure</t>
  </si>
  <si>
    <t xml:space="preserve">Evidence source</t>
  </si>
  <si>
    <t xml:space="preserve">Status</t>
  </si>
  <si>
    <t xml:space="preserve">Last updated</t>
  </si>
  <si>
    <t xml:space="preserve">Notes</t>
  </si>
  <si>
    <t xml:space="preserve">R-01</t>
  </si>
  <si>
    <t xml:space="preserve">Relationships</t>
  </si>
  <si>
    <t xml:space="preserve">Establish a formal partnership with the local Aboriginal community-controlled health organisation</t>
  </si>
  <si>
    <t xml:space="preserve">Signed partnership agreement</t>
  </si>
  <si>
    <t xml:space="preserve">J. Nguyen</t>
  </si>
  <si>
    <t xml:space="preserve">Head of Community</t>
  </si>
  <si>
    <t xml:space="preserve">2026-09-01</t>
  </si>
  <si>
    <t xml:space="preserve">2027-03-31</t>
  </si>
  <si>
    <t xml:space="preserve">Agreement signed and first joint activity delivered</t>
  </si>
  <si>
    <t xml:space="preserve">Signed agreement (Legal share drive) + event report</t>
  </si>
  <si>
    <t xml:space="preserve">In progress</t>
  </si>
  <si>
    <t xml:space="preserve">2026-08-03</t>
  </si>
  <si>
    <t xml:space="preserve">Introductory meeting held 12 Aug</t>
  </si>
  <si>
    <t xml:space="preserve">Action Register Summary</t>
  </si>
  <si>
    <t xml:space="preserve">Calculated from the Action Register tab. Do not type into this sheet.</t>
  </si>
  <si>
    <t xml:space="preserve">By status</t>
  </si>
  <si>
    <t xml:space="preserve">Count</t>
  </si>
  <si>
    <t xml:space="preserve">% of total</t>
  </si>
  <si>
    <t xml:space="preserve">Not started</t>
  </si>
  <si>
    <t xml:space="preserve">Delivered</t>
  </si>
  <si>
    <t xml:space="preserve">At risk</t>
  </si>
  <si>
    <t xml:space="preserve">Dropped</t>
  </si>
  <si>
    <t xml:space="preserve">Total actions</t>
  </si>
  <si>
    <t xml:space="preserve">By pillar</t>
  </si>
  <si>
    <t xml:space="preserve">Actions</t>
  </si>
  <si>
    <t xml:space="preserve">Respect</t>
  </si>
  <si>
    <t xml:space="preserve">Opportunities</t>
  </si>
  <si>
    <t xml:space="preserve">Governance</t>
  </si>
  <si>
    <t xml:space="preserve">Actions with no owner named (these are the ones that will slip):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</si>
</sst>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D1B2A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D1B2A"/>
      <name val="Arial"/>
      <family val="0"/>
      <charset val="1"/>
    </font>
    <font>
      <i val="true"/>
      <sz val="9"/>
      <color rgb="FF66708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98A2B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8E7"/>
        <bgColor rgb="FFF2F4F7"/>
      </patternFill>
    </fill>
    <fill>
      <patternFill patternType="solid">
        <fgColor rgb="FF0D1B2A"/>
        <bgColor rgb="FF000000"/>
      </patternFill>
    </fill>
    <fill>
      <patternFill patternType="solid">
        <fgColor rgb="FFF2F4F7"/>
        <bgColor rgb="FFFFF8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7"/>
      <rgbColor rgb="FFF2F4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7085"/>
      <rgbColor rgb="FF98A2B3"/>
      <rgbColor rgb="FF003366"/>
      <rgbColor rgb="FF339966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9.7" hidden="false" customHeight="false" outlineLevel="0" collapsed="false">
      <c r="B2" s="1" t="s">
        <v>0</v>
      </c>
    </row>
    <row r="4" customFormat="false" ht="45.75" hidden="false" customHeight="tru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</row>
    <row r="7" customFormat="false" ht="27.75" hidden="false" customHeight="true" outlineLevel="0" collapsed="false">
      <c r="B7" s="2" t="s">
        <v>3</v>
      </c>
    </row>
    <row r="8" customFormat="false" ht="27.75" hidden="false" customHeight="true" outlineLevel="0" collapsed="false">
      <c r="B8" s="2" t="s">
        <v>4</v>
      </c>
    </row>
    <row r="9" customFormat="false" ht="27.75" hidden="false" customHeight="true" outlineLevel="0" collapsed="false">
      <c r="B9" s="2" t="s">
        <v>5</v>
      </c>
    </row>
    <row r="10" customFormat="false" ht="27.75" hidden="false" customHeight="true" outlineLevel="0" collapsed="false">
      <c r="B10" s="2" t="s">
        <v>6</v>
      </c>
    </row>
    <row r="11" customFormat="false" ht="27.75" hidden="false" customHeight="true" outlineLevel="0" collapsed="false">
      <c r="B11" s="2" t="s">
        <v>7</v>
      </c>
    </row>
    <row r="13" customFormat="false" ht="15" hidden="false" customHeight="false" outlineLevel="0" collapsed="false">
      <c r="B13" s="3" t="s">
        <v>8</v>
      </c>
    </row>
    <row r="14" customFormat="false" ht="30" hidden="false" customHeight="true" outlineLevel="0" collapsed="false">
      <c r="B14" s="4" t="s">
        <v>9</v>
      </c>
    </row>
    <row r="16" customFormat="false" ht="30" hidden="false" customHeight="true" outlineLevel="0" collapsed="false">
      <c r="B16" s="5" t="s">
        <v>10</v>
      </c>
    </row>
    <row r="18" customFormat="false" ht="15" hidden="false" customHeight="false" outlineLevel="0" collapsed="false">
      <c r="B18" s="6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34"/>
    <col collapsed="false" customWidth="true" hidden="false" outlineLevel="0" max="10" min="10" style="0" width="32"/>
    <col collapsed="false" customWidth="true" hidden="false" outlineLevel="0" max="12" min="11" style="0" width="13"/>
    <col collapsed="false" customWidth="true" hidden="false" outlineLevel="0" max="13" min="13" style="0" width="26"/>
  </cols>
  <sheetData>
    <row r="1" customFormat="false" ht="19.7" hidden="false" customHeight="false" outlineLevel="0" collapsed="false">
      <c r="A1" s="1" t="s">
        <v>0</v>
      </c>
    </row>
    <row r="3" customFormat="false" ht="30" hidden="false" customHeight="true" outlineLevel="0" collapsed="false">
      <c r="A3" s="7" t="s">
        <v>12</v>
      </c>
      <c r="B3" s="7" t="s">
        <v>13</v>
      </c>
      <c r="C3" s="7" t="s">
        <v>14</v>
      </c>
      <c r="D3" s="7" t="s">
        <v>15</v>
      </c>
      <c r="E3" s="7" t="s">
        <v>16</v>
      </c>
      <c r="F3" s="7" t="s">
        <v>17</v>
      </c>
      <c r="G3" s="7" t="s">
        <v>18</v>
      </c>
      <c r="H3" s="7" t="s">
        <v>19</v>
      </c>
      <c r="I3" s="7" t="s">
        <v>20</v>
      </c>
      <c r="J3" s="7" t="s">
        <v>21</v>
      </c>
      <c r="K3" s="7" t="s">
        <v>22</v>
      </c>
      <c r="L3" s="7" t="s">
        <v>23</v>
      </c>
      <c r="M3" s="7" t="s">
        <v>24</v>
      </c>
    </row>
    <row r="4" customFormat="false" ht="23.85" hidden="false" customHeight="false" outlineLevel="0" collapsed="false">
      <c r="A4" s="8" t="s">
        <v>25</v>
      </c>
      <c r="B4" s="8" t="s">
        <v>26</v>
      </c>
      <c r="C4" s="8" t="s">
        <v>27</v>
      </c>
      <c r="D4" s="8" t="s">
        <v>28</v>
      </c>
      <c r="E4" s="8" t="s">
        <v>29</v>
      </c>
      <c r="F4" s="8" t="s">
        <v>30</v>
      </c>
      <c r="G4" s="8" t="s">
        <v>31</v>
      </c>
      <c r="H4" s="8" t="s">
        <v>32</v>
      </c>
      <c r="I4" s="8" t="s">
        <v>33</v>
      </c>
      <c r="J4" s="8" t="s">
        <v>34</v>
      </c>
      <c r="K4" s="8" t="s">
        <v>35</v>
      </c>
      <c r="L4" s="8" t="s">
        <v>36</v>
      </c>
      <c r="M4" s="8" t="s">
        <v>37</v>
      </c>
    </row>
    <row r="5" customFormat="false" ht="15" hidden="false" customHeight="fals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customFormat="false" ht="15" hidden="false" customHeight="fals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</row>
  </sheetData>
  <dataValidations count="2">
    <dataValidation allowBlank="true" errorStyle="stop" operator="between" showDropDown="false" showErrorMessage="false" showInputMessage="false" sqref="B4:B123" type="list">
      <formula1>"Relationships,Respect,Opportunities,Governance"</formula1>
      <formula2>0</formula2>
    </dataValidation>
    <dataValidation allowBlank="true" errorStyle="stop" operator="between" showDropDown="false" showErrorMessage="false" showInputMessage="false" sqref="K4:K123" type="list">
      <formula1>"Not started,In progress,Delivered,At risk,Dropped"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4" min="3" style="0" width="14"/>
  </cols>
  <sheetData>
    <row r="2" customFormat="false" ht="19.7" hidden="false" customHeight="false" outlineLevel="0" collapsed="false">
      <c r="B2" s="1" t="s">
        <v>38</v>
      </c>
    </row>
    <row r="3" customFormat="false" ht="15" hidden="false" customHeight="false" outlineLevel="0" collapsed="false">
      <c r="B3" s="6" t="s">
        <v>39</v>
      </c>
    </row>
    <row r="5" customFormat="false" ht="15" hidden="false" customHeight="false" outlineLevel="0" collapsed="false">
      <c r="B5" s="3" t="s">
        <v>40</v>
      </c>
    </row>
    <row r="6" customFormat="false" ht="30" hidden="false" customHeight="true" outlineLevel="0" collapsed="false">
      <c r="A6" s="7"/>
      <c r="B6" s="7" t="s">
        <v>22</v>
      </c>
      <c r="C6" s="7" t="s">
        <v>41</v>
      </c>
      <c r="D6" s="7" t="s">
        <v>42</v>
      </c>
    </row>
    <row r="7" customFormat="false" ht="15" hidden="false" customHeight="false" outlineLevel="0" collapsed="false">
      <c r="B7" s="10" t="s">
        <v>43</v>
      </c>
      <c r="C7" s="10" t="n">
        <f aca="false">COUNTIF('Action Register'!$K$4:$K$123,$B7)</f>
        <v>0</v>
      </c>
      <c r="D7" s="11" t="n">
        <f aca="false">IFERROR(C7/$C$12,0)</f>
        <v>0</v>
      </c>
    </row>
    <row r="8" customFormat="false" ht="15" hidden="false" customHeight="false" outlineLevel="0" collapsed="false">
      <c r="B8" s="10" t="s">
        <v>35</v>
      </c>
      <c r="C8" s="10" t="n">
        <f aca="false">COUNTIF('Action Register'!$K$4:$K$123,$B8)</f>
        <v>1</v>
      </c>
      <c r="D8" s="11" t="n">
        <f aca="false">IFERROR(C8/$C$12,0)</f>
        <v>1</v>
      </c>
    </row>
    <row r="9" customFormat="false" ht="15" hidden="false" customHeight="false" outlineLevel="0" collapsed="false">
      <c r="B9" s="10" t="s">
        <v>44</v>
      </c>
      <c r="C9" s="10" t="n">
        <f aca="false">COUNTIF('Action Register'!$K$4:$K$123,$B9)</f>
        <v>0</v>
      </c>
      <c r="D9" s="11" t="n">
        <f aca="false">IFERROR(C9/$C$12,0)</f>
        <v>0</v>
      </c>
    </row>
    <row r="10" customFormat="false" ht="15" hidden="false" customHeight="false" outlineLevel="0" collapsed="false">
      <c r="B10" s="10" t="s">
        <v>45</v>
      </c>
      <c r="C10" s="10" t="n">
        <f aca="false">COUNTIF('Action Register'!$K$4:$K$123,$B10)</f>
        <v>0</v>
      </c>
      <c r="D10" s="11" t="n">
        <f aca="false">IFERROR(C10/$C$12,0)</f>
        <v>0</v>
      </c>
    </row>
    <row r="11" customFormat="false" ht="15" hidden="false" customHeight="false" outlineLevel="0" collapsed="false">
      <c r="B11" s="10" t="s">
        <v>46</v>
      </c>
      <c r="C11" s="10" t="n">
        <f aca="false">COUNTIF('Action Register'!$K$4:$K$123,$B11)</f>
        <v>0</v>
      </c>
      <c r="D11" s="11" t="n">
        <f aca="false">IFERROR(C11/$C$12,0)</f>
        <v>0</v>
      </c>
    </row>
    <row r="12" customFormat="false" ht="15" hidden="false" customHeight="false" outlineLevel="0" collapsed="false">
      <c r="B12" s="12" t="s">
        <v>47</v>
      </c>
      <c r="C12" s="12" t="n">
        <f aca="false">COUNTA('Action Register'!$A$4:$A$123)</f>
        <v>1</v>
      </c>
      <c r="D12" s="13" t="n">
        <f aca="false">IFERROR(SUM(D7:D11),0)</f>
        <v>1</v>
      </c>
    </row>
    <row r="14" customFormat="false" ht="15" hidden="false" customHeight="false" outlineLevel="0" collapsed="false">
      <c r="B14" s="3" t="s">
        <v>48</v>
      </c>
    </row>
    <row r="15" customFormat="false" ht="30" hidden="false" customHeight="true" outlineLevel="0" collapsed="false">
      <c r="A15" s="7"/>
      <c r="B15" s="7" t="s">
        <v>13</v>
      </c>
      <c r="C15" s="7" t="s">
        <v>49</v>
      </c>
      <c r="D15" s="7" t="s">
        <v>44</v>
      </c>
    </row>
    <row r="16" customFormat="false" ht="15" hidden="false" customHeight="false" outlineLevel="0" collapsed="false">
      <c r="B16" s="10" t="s">
        <v>26</v>
      </c>
      <c r="C16" s="10" t="n">
        <f aca="false">COUNTIF('Action Register'!$B$4:$B$123,$B16)</f>
        <v>1</v>
      </c>
      <c r="D16" s="10" t="n">
        <f aca="false">COUNTIFS('Action Register'!$B$4:$B$123,$B16,'Action Register'!$K$4:$K$123,"Delivered")</f>
        <v>0</v>
      </c>
    </row>
    <row r="17" customFormat="false" ht="15" hidden="false" customHeight="false" outlineLevel="0" collapsed="false">
      <c r="B17" s="10" t="s">
        <v>50</v>
      </c>
      <c r="C17" s="10" t="n">
        <f aca="false">COUNTIF('Action Register'!$B$4:$B$123,$B17)</f>
        <v>0</v>
      </c>
      <c r="D17" s="10" t="n">
        <f aca="false">COUNTIFS('Action Register'!$B$4:$B$123,$B17,'Action Register'!$K$4:$K$123,"Delivered")</f>
        <v>0</v>
      </c>
    </row>
    <row r="18" customFormat="false" ht="15" hidden="false" customHeight="false" outlineLevel="0" collapsed="false">
      <c r="B18" s="10" t="s">
        <v>51</v>
      </c>
      <c r="C18" s="10" t="n">
        <f aca="false">COUNTIF('Action Register'!$B$4:$B$123,$B18)</f>
        <v>0</v>
      </c>
      <c r="D18" s="10" t="n">
        <f aca="false">COUNTIFS('Action Register'!$B$4:$B$123,$B18,'Action Register'!$K$4:$K$123,"Delivered")</f>
        <v>0</v>
      </c>
    </row>
    <row r="19" customFormat="false" ht="15" hidden="false" customHeight="false" outlineLevel="0" collapsed="false">
      <c r="B19" s="10" t="s">
        <v>52</v>
      </c>
      <c r="C19" s="10" t="n">
        <f aca="false">COUNTIF('Action Register'!$B$4:$B$123,$B19)</f>
        <v>0</v>
      </c>
      <c r="D19" s="10" t="n">
        <f aca="false">COUNTIFS('Action Register'!$B$4:$B$123,$B19,'Action Register'!$K$4:$K$123,"Delivered")</f>
        <v>0</v>
      </c>
    </row>
    <row r="22" customFormat="false" ht="15" hidden="false" customHeight="false" outlineLevel="0" collapsed="false">
      <c r="B22" s="3" t="s">
        <v>53</v>
      </c>
      <c r="C22" s="3" t="n">
        <f aca="false">COUNTA('Action Register'!$A$4:$A$123)-COUNTA('Action Register'!$E$4:$E$123)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2026-08-03T08:50:02Z</dcterms:created>
  <dc:creator>openpyxl</dc:creator>
  <dc:description/>
  <dc:language>en-US</dc:language>
  <cp:lastModifiedBy/>
  <dcterms:modified xsi:type="dcterms:W3CDTF">2026-08-03T08:50:02Z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